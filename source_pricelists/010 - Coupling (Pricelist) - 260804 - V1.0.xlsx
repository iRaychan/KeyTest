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5062713-26FE-4E0F-BC50-65EAC34A4C50}" xr6:coauthVersionLast="47" xr6:coauthVersionMax="47" xr10:uidLastSave="{00000000-0000-0000-0000-000000000000}"/>
  <bookViews>
    <workbookView xWindow="11424" yWindow="0" windowWidth="11712" windowHeight="12336" xr2:uid="{C95CF70E-2CCB-4DBC-B07F-CEBB8F6EB4BD}"/>
  </bookViews>
  <sheets>
    <sheet name="Pricelist" sheetId="4" r:id="rId1"/>
    <sheet name="Motor Frame" sheetId="1" r:id="rId2"/>
    <sheet name="Pump Shaft" sheetId="2" r:id="rId3"/>
    <sheet name="Coupling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</calcChain>
</file>

<file path=xl/sharedStrings.xml><?xml version="1.0" encoding="utf-8"?>
<sst xmlns="http://schemas.openxmlformats.org/spreadsheetml/2006/main" count="327" uniqueCount="171">
  <si>
    <t>HP</t>
  </si>
  <si>
    <t>2P</t>
  </si>
  <si>
    <t>4P</t>
  </si>
  <si>
    <t>6P</t>
  </si>
  <si>
    <t>8P</t>
  </si>
  <si>
    <t>0.25HP</t>
  </si>
  <si>
    <t>0.33HP</t>
  </si>
  <si>
    <t>0.5HP</t>
  </si>
  <si>
    <t>90S</t>
  </si>
  <si>
    <t>0.75HP</t>
  </si>
  <si>
    <t>90L</t>
  </si>
  <si>
    <t>1HP</t>
  </si>
  <si>
    <t>100L</t>
  </si>
  <si>
    <t>1.5HP</t>
  </si>
  <si>
    <t>2HP</t>
  </si>
  <si>
    <t>112M</t>
  </si>
  <si>
    <t>3HP</t>
  </si>
  <si>
    <t>132S</t>
  </si>
  <si>
    <t>4HP</t>
  </si>
  <si>
    <t>132M</t>
  </si>
  <si>
    <t>5.5HP</t>
  </si>
  <si>
    <t>160M</t>
  </si>
  <si>
    <t>7.5HP</t>
  </si>
  <si>
    <t>10HP</t>
  </si>
  <si>
    <t>160L</t>
  </si>
  <si>
    <t>15HP</t>
  </si>
  <si>
    <t>180L</t>
  </si>
  <si>
    <t>20HP</t>
  </si>
  <si>
    <t>200L</t>
  </si>
  <si>
    <t>25HP</t>
  </si>
  <si>
    <t>225S</t>
  </si>
  <si>
    <t>30HP</t>
  </si>
  <si>
    <t>180M</t>
  </si>
  <si>
    <t>225M</t>
  </si>
  <si>
    <t>40HP</t>
  </si>
  <si>
    <t>250M</t>
  </si>
  <si>
    <t>50HP</t>
  </si>
  <si>
    <t>280S</t>
  </si>
  <si>
    <t>60HP</t>
  </si>
  <si>
    <t>280M</t>
  </si>
  <si>
    <t>75HP</t>
  </si>
  <si>
    <t>315S</t>
  </si>
  <si>
    <t>100HP</t>
  </si>
  <si>
    <t>315M</t>
  </si>
  <si>
    <t>125HP</t>
  </si>
  <si>
    <t>315L</t>
  </si>
  <si>
    <t>150HP</t>
  </si>
  <si>
    <t>175HP</t>
  </si>
  <si>
    <t>355M</t>
  </si>
  <si>
    <t>200HP</t>
  </si>
  <si>
    <t>215HP</t>
  </si>
  <si>
    <t>250HP</t>
  </si>
  <si>
    <t>355L</t>
  </si>
  <si>
    <t>270HP</t>
  </si>
  <si>
    <t>300HP</t>
  </si>
  <si>
    <t>x</t>
  </si>
  <si>
    <t>335HP</t>
  </si>
  <si>
    <t>375HP</t>
  </si>
  <si>
    <t>420HP</t>
  </si>
  <si>
    <t>500HP</t>
  </si>
  <si>
    <t>Frame Size</t>
  </si>
  <si>
    <t>Shaft Size</t>
  </si>
  <si>
    <t>400M</t>
  </si>
  <si>
    <t>400L</t>
  </si>
  <si>
    <t>4P, 6P &amp; 6P</t>
  </si>
  <si>
    <t>Model</t>
  </si>
  <si>
    <t>32-13</t>
  </si>
  <si>
    <t>32-16</t>
  </si>
  <si>
    <t>32-20</t>
  </si>
  <si>
    <t>32-26</t>
  </si>
  <si>
    <t>40-13</t>
  </si>
  <si>
    <t>40-16</t>
  </si>
  <si>
    <t>40-20</t>
  </si>
  <si>
    <t>40-26</t>
  </si>
  <si>
    <t>40-32</t>
  </si>
  <si>
    <t>40-32H</t>
  </si>
  <si>
    <t>40-32G</t>
  </si>
  <si>
    <t>50-13</t>
  </si>
  <si>
    <t>50-16</t>
  </si>
  <si>
    <t>50-20</t>
  </si>
  <si>
    <t>50-26</t>
  </si>
  <si>
    <t>50-26G</t>
  </si>
  <si>
    <t>50-32</t>
  </si>
  <si>
    <t>50-32H</t>
  </si>
  <si>
    <t>50-32G</t>
  </si>
  <si>
    <t>65-13</t>
  </si>
  <si>
    <t>65-16</t>
  </si>
  <si>
    <t>65-20</t>
  </si>
  <si>
    <t>65-20G</t>
  </si>
  <si>
    <t>65-26</t>
  </si>
  <si>
    <t>65-32</t>
  </si>
  <si>
    <t>65-32H</t>
  </si>
  <si>
    <t>65-32G</t>
  </si>
  <si>
    <t>80-16</t>
  </si>
  <si>
    <t>80-20</t>
  </si>
  <si>
    <t>80-26</t>
  </si>
  <si>
    <t>80-32</t>
  </si>
  <si>
    <t>80-32H</t>
  </si>
  <si>
    <t>80-32G</t>
  </si>
  <si>
    <t>80-40</t>
  </si>
  <si>
    <t>100-16</t>
  </si>
  <si>
    <t>100-20</t>
  </si>
  <si>
    <t>100-26</t>
  </si>
  <si>
    <t>100-26H</t>
  </si>
  <si>
    <t>100-26G</t>
  </si>
  <si>
    <t>100-32</t>
  </si>
  <si>
    <t>100-32G</t>
  </si>
  <si>
    <t>100-40</t>
  </si>
  <si>
    <t>125-20</t>
  </si>
  <si>
    <t>125-26</t>
  </si>
  <si>
    <t>125-26G</t>
  </si>
  <si>
    <t>125-32</t>
  </si>
  <si>
    <t>125-40</t>
  </si>
  <si>
    <t>150-20</t>
  </si>
  <si>
    <t>150-26</t>
  </si>
  <si>
    <t>150-32</t>
  </si>
  <si>
    <t>150-40</t>
  </si>
  <si>
    <t>200-26</t>
  </si>
  <si>
    <t>200-32</t>
  </si>
  <si>
    <t>200-40</t>
  </si>
  <si>
    <t>250-32</t>
  </si>
  <si>
    <t>250-40</t>
  </si>
  <si>
    <t>ES Series</t>
  </si>
  <si>
    <t>FCL 90</t>
  </si>
  <si>
    <t>FCL 100</t>
  </si>
  <si>
    <t>FCL 112</t>
  </si>
  <si>
    <t>FCL 125</t>
  </si>
  <si>
    <t>FCL 140</t>
  </si>
  <si>
    <t>FCL 160</t>
  </si>
  <si>
    <t>FCL 180</t>
  </si>
  <si>
    <t>FCL 200</t>
  </si>
  <si>
    <t>FCL 224</t>
  </si>
  <si>
    <t>FCL 250</t>
  </si>
  <si>
    <t>FCL 280</t>
  </si>
  <si>
    <t>FCL 315</t>
  </si>
  <si>
    <t>FCL 355</t>
  </si>
  <si>
    <t>FCL 400</t>
  </si>
  <si>
    <t>FCL 450</t>
  </si>
  <si>
    <t>FCL 560</t>
  </si>
  <si>
    <t>FCL 630</t>
  </si>
  <si>
    <t>Torque (N.M)</t>
  </si>
  <si>
    <t>Max Speed (Rpm)</t>
  </si>
  <si>
    <t>D1</t>
  </si>
  <si>
    <t>Max Shaft Size</t>
  </si>
  <si>
    <t>F40</t>
  </si>
  <si>
    <t>F50</t>
  </si>
  <si>
    <t>F60</t>
  </si>
  <si>
    <t>F80</t>
  </si>
  <si>
    <t>F90</t>
  </si>
  <si>
    <t>F100</t>
  </si>
  <si>
    <t>F110</t>
  </si>
  <si>
    <t>F120</t>
  </si>
  <si>
    <t>F140</t>
  </si>
  <si>
    <t>F160</t>
  </si>
  <si>
    <t>F180</t>
  </si>
  <si>
    <t>F200</t>
  </si>
  <si>
    <t>F220</t>
  </si>
  <si>
    <t>F250</t>
  </si>
  <si>
    <t>M</t>
  </si>
  <si>
    <t>F</t>
  </si>
  <si>
    <t>H</t>
  </si>
  <si>
    <t>P</t>
  </si>
  <si>
    <t>-</t>
  </si>
  <si>
    <t>Bush Size</t>
  </si>
  <si>
    <t>F70</t>
  </si>
  <si>
    <t>Coupling</t>
  </si>
  <si>
    <t>Pin &amp; Bush</t>
  </si>
  <si>
    <t>Tyre Coupling</t>
  </si>
  <si>
    <t>Price (RMB)</t>
  </si>
  <si>
    <t>Tyre</t>
  </si>
  <si>
    <t>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</si>
</sst>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¥-804]* #,##0.00_ ;_ [$¥-804]* \-#,##0.00_ ;_ [$¥-804]* &quot;-&quot;??_ ;_ @_ 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ont="1" applyFill="1"/>
    <xf numFmtId="0" fontId="0" fillId="0" borderId="0" xfId="0" applyFont="1"/>
    <xf numFmtId="0" fontId="0" fillId="2" borderId="1" xfId="0" applyFont="1" applyFill="1" applyBorder="1"/>
    <xf numFmtId="164" fontId="0" fillId="0" borderId="0" xfId="0" applyNumberFormat="1"/>
    <xf numFmtId="0" fontId="0" fillId="2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30">
    <dxf>
      <numFmt numFmtId="164" formatCode="_ [$¥-804]* #,##0.00_ ;_ [$¥-804]* \-#,##0.00_ ;_ [$¥-804]* &quot;-&quot;??_ ;_ @_ "/>
    </dxf>
    <dxf>
      <numFmt numFmtId="164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64" formatCode="_ [$¥-804]* #,##0.00_ ;_ [$¥-804]* \-#,##0.00_ ;_ [$¥-804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E4F2EAE-4884-4037-ACD4-D417FCCEC738}" name="CouplingTypeT" displayName="CouplingTypeT" ref="B3:B5" totalsRowShown="0">
  <autoFilter ref="B3:B5" xr:uid="{DE4F2EAE-4884-4037-ACD4-D417FCCEC738}"/>
  <tableColumns count="1">
    <tableColumn id="1" xr3:uid="{C5A8AFA8-68A4-4079-83A1-97EE240FA1D1}" name="Coupl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475554-9720-46C8-BE2D-FD31CFE1BA82}" name="PinBushPLT" displayName="PinBushPLT" ref="D3:E20" totalsRowShown="0">
  <autoFilter ref="D3:E20" xr:uid="{FB475554-9720-46C8-BE2D-FD31CFE1BA82}"/>
  <tableColumns count="2">
    <tableColumn id="1" xr3:uid="{74E00788-2DD5-4DD5-81B0-651DB4D18B2F}" name="Pin &amp; Bush" dataDxfId="4"/>
    <tableColumn id="2" xr3:uid="{BA7ACFBD-CAFC-48CD-94F7-5C0E8875C3CA}" name="Price (RMB)" dataDxfId="3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07E2A9-D8AA-4551-B8AA-74B668CE4C65}" name="TyrePLT" displayName="TyrePLT" ref="G3:H18" totalsRowShown="0">
  <autoFilter ref="G3:H18" xr:uid="{C707E2A9-D8AA-4551-B8AA-74B668CE4C65}"/>
  <tableColumns count="2">
    <tableColumn id="1" xr3:uid="{F1580DA7-6A40-4452-9EB2-A505B4610D4C}" name="Tyre"/>
    <tableColumn id="2" xr3:uid="{16E21619-49C1-4C55-BB55-4A5A1FDF9461}" name="Price (RMB)" dataDxfId="0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75C3DE-D899-415D-ABBC-1A1FEAC0D846}" name="BushPLT" displayName="BushPLT" ref="J3:K13" totalsRowShown="0">
  <autoFilter ref="J3:K13" xr:uid="{1175C3DE-D899-415D-ABBC-1A1FEAC0D846}"/>
  <tableColumns count="2">
    <tableColumn id="1" xr3:uid="{92179BAC-6938-4279-803B-841C156FDF2C}" name="Bush" dataDxfId="2"/>
    <tableColumn id="2" xr3:uid="{1035197A-0EC0-44F6-86AF-077CB305321B}" name="Price (RMB)" dataDxfId="1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16086A-3572-4759-B405-B1BF14577F96}" name="MotorFrameT" displayName="MotorFrameT" ref="C3:G36" totalsRowShown="0" headerRowDxfId="18" dataDxfId="17">
  <autoFilter ref="C3:G36" xr:uid="{A716086A-3572-4759-B405-B1BF14577F96}"/>
  <tableColumns count="5">
    <tableColumn id="1" xr3:uid="{89CA781B-0800-4B31-BB34-1C1AE948A404}" name="HP" dataDxfId="16"/>
    <tableColumn id="2" xr3:uid="{6310D235-7D63-4359-86EE-91F6BA231DE9}" name="2P" dataDxfId="15"/>
    <tableColumn id="3" xr3:uid="{5B8BC282-20AA-4404-8BF9-AC1413EF54D0}" name="4P" dataDxfId="14"/>
    <tableColumn id="4" xr3:uid="{BBB7D224-7A76-492F-A1C7-C302316D29B5}" name="6P" dataDxfId="13"/>
    <tableColumn id="5" xr3:uid="{4995B20D-5443-4076-A087-372BEF6C6244}" name="8P" dataDxfId="12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A6CF6D-50DF-4679-8F64-1B940339C71A}" name="MotorShaftT" displayName="MotorShaftT" ref="I3:K29" totalsRowShown="0" headerRowDxfId="11" dataDxfId="10">
  <autoFilter ref="I3:K29" xr:uid="{B4A6CF6D-50DF-4679-8F64-1B940339C71A}"/>
  <tableColumns count="3">
    <tableColumn id="1" xr3:uid="{4F956903-CBDB-4AB7-B7A7-E54C9AAD1EC5}" name="Frame Size" dataDxfId="9"/>
    <tableColumn id="2" xr3:uid="{B402ECE0-7DEF-4888-9ECE-67FCFDF64F30}" name="2P" dataDxfId="8"/>
    <tableColumn id="3" xr3:uid="{524CA05C-E69D-4372-9193-D18B308294EC}" name="4P, 6P &amp; 6P" dataDxfId="7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459F59-D427-4B31-9BC1-2ECDAE66C742}" name="ESShaftT" displayName="ESShaftT" ref="B3:C59" totalsRowShown="0">
  <autoFilter ref="B3:C59" xr:uid="{AE459F59-D427-4B31-9BC1-2ECDAE66C742}"/>
  <tableColumns count="2">
    <tableColumn id="1" xr3:uid="{13C4A985-5440-4981-9C60-52E361E76E08}" name="Model" dataDxfId="6"/>
    <tableColumn id="2" xr3:uid="{D17E6DFB-0B18-4FD6-A891-F6C41D795BE3}" name="Shaft Size" dataDxfId="5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F3FD37-60DD-4569-A6DA-BBA0A5728375}" name="FCLT" displayName="FCLT" ref="B3:F20" totalsRowShown="0">
  <autoFilter ref="B3:F20" xr:uid="{15F3FD37-60DD-4569-A6DA-BBA0A5728375}"/>
  <tableColumns count="5">
    <tableColumn id="1" xr3:uid="{F5E53113-6C4F-4D85-A14F-89C96B9C6C5A}" name="Model"/>
    <tableColumn id="2" xr3:uid="{2225F7BF-34D9-46AC-AF08-3F76F4BA0512}" name="Torque (N.M)"/>
    <tableColumn id="3" xr3:uid="{B85139A6-5330-408F-9F14-8518FEFE14FC}" name="Max Speed (Rpm)" dataDxfId="29"/>
    <tableColumn id="4" xr3:uid="{3CEAA9F8-2C9C-4EE1-9748-3C9585C9ABE2}" name="D1" dataDxfId="28"/>
    <tableColumn id="5" xr3:uid="{12A96A94-9D4B-4764-BB36-3B49D85CD239}" name="Max Shaft Size" dataDxfId="27">
      <calculatedColumnFormula>ROUND(MIN((FCLT[[#This Row],[D1]]*0.7),(FCLT[[#This Row],[D1]]-10)),0)</calculatedColumnFormula>
    </tableColumn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76C472-AB16-4704-B221-A37026C3029A}" name="TyreT" displayName="TyreT" ref="I3:M18" totalsRowShown="0" dataDxfId="26">
  <autoFilter ref="I3:M18" xr:uid="{7676C472-AB16-4704-B221-A37026C3029A}"/>
  <tableColumns count="5">
    <tableColumn id="1" xr3:uid="{7E03664C-195B-45DE-A5E5-FC476C2B5AE6}" name="Model"/>
    <tableColumn id="2" xr3:uid="{42283331-2DF5-4866-A56A-B29553876EBE}" name="Torque (N.M)" dataDxfId="25"/>
    <tableColumn id="3" xr3:uid="{D62D4A55-4FB4-4FC9-B49B-FB217B662A13}" name="Max Speed (Rpm)" dataDxfId="24"/>
    <tableColumn id="4" xr3:uid="{3A1155C9-7920-44F3-A396-4443ECEDEFDF}" name="F" dataDxfId="23"/>
    <tableColumn id="5" xr3:uid="{23091D03-4924-450F-8797-9E93D5A0422F}" name="H" dataDxfId="22"/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85645D-ADA1-41FB-80D8-5A6E9DF37DDF}" name="BushT" displayName="BushT" ref="P3:Q13" totalsRowShown="0" dataDxfId="21">
  <autoFilter ref="P3:Q13" xr:uid="{2085645D-ADA1-41FB-80D8-5A6E9DF37DDF}"/>
  <tableColumns count="2">
    <tableColumn id="1" xr3:uid="{BED74A74-5D34-41A7-82EC-41F98CAAE96F}" name="Bush Size" dataDxfId="20"/>
    <tableColumn id="2" xr3:uid="{4067211F-F81E-4ACE-99D5-917FEB329F26}" name="Max Shaft Size" dataDxfId="19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D051-9C8A-4134-8749-A4BEFDEE5859}">
  <dimension ref="B3:K20"/>
  <sheetViews>
    <sheetView tabSelected="1" topLeftCell="C1" workbookViewId="0">
      <selection activeCell="H7" sqref="H7"/>
    </sheetView>
  </sheetViews>
  <sheetFormatPr defaultRowHeight="14.4" x14ac:dyDescent="0.3"/>
  <cols>
    <col min="2" max="2" width="12.5546875" customWidth="1"/>
    <col min="4" max="4" width="11.33203125" customWidth="1"/>
    <col min="5" max="5" width="12.21875" customWidth="1"/>
    <col min="8" max="8" width="12.21875" customWidth="1"/>
    <col min="11" max="11" width="12.21875" customWidth="1"/>
  </cols>
  <sheetData>
    <row r="3" spans="2:11" x14ac:dyDescent="0.3">
      <c r="B3" t="s">
        <v>165</v>
      </c>
      <c r="D3" t="s">
        <v>166</v>
      </c>
      <c r="E3" t="s">
        <v>168</v>
      </c>
      <c r="G3" t="s">
        <v>169</v>
      </c>
      <c r="H3" t="s">
        <v>168</v>
      </c>
      <c r="J3" t="s">
        <v>170</v>
      </c>
      <c r="K3" t="s">
        <v>168</v>
      </c>
    </row>
    <row r="4" spans="2:11" x14ac:dyDescent="0.3">
      <c r="B4" t="s">
        <v>166</v>
      </c>
      <c r="D4" s="4" t="s">
        <v>123</v>
      </c>
      <c r="E4" s="7"/>
      <c r="G4" t="s">
        <v>144</v>
      </c>
      <c r="H4" s="7"/>
      <c r="J4" s="8">
        <v>1008</v>
      </c>
      <c r="K4" s="7"/>
    </row>
    <row r="5" spans="2:11" x14ac:dyDescent="0.3">
      <c r="B5" t="s">
        <v>167</v>
      </c>
      <c r="D5" s="5" t="s">
        <v>124</v>
      </c>
      <c r="E5" s="7">
        <v>37.369999999999997</v>
      </c>
      <c r="G5" t="s">
        <v>145</v>
      </c>
      <c r="H5" s="7">
        <v>133.72</v>
      </c>
      <c r="J5" s="9">
        <v>1210</v>
      </c>
      <c r="K5" s="7">
        <v>12.84</v>
      </c>
    </row>
    <row r="6" spans="2:11" x14ac:dyDescent="0.3">
      <c r="D6" s="4" t="s">
        <v>125</v>
      </c>
      <c r="E6" s="7">
        <v>53.46</v>
      </c>
      <c r="G6" t="s">
        <v>146</v>
      </c>
      <c r="H6" s="7">
        <v>185</v>
      </c>
      <c r="J6" s="8">
        <v>1610</v>
      </c>
      <c r="K6" s="7">
        <v>15.17</v>
      </c>
    </row>
    <row r="7" spans="2:11" x14ac:dyDescent="0.3">
      <c r="D7" s="5" t="s">
        <v>126</v>
      </c>
      <c r="E7" s="7">
        <v>66.33</v>
      </c>
      <c r="G7" t="s">
        <v>164</v>
      </c>
      <c r="H7" s="7">
        <v>264.89999999999998</v>
      </c>
      <c r="J7" s="9">
        <v>2012</v>
      </c>
      <c r="K7" s="7">
        <v>19.84</v>
      </c>
    </row>
    <row r="8" spans="2:11" x14ac:dyDescent="0.3">
      <c r="D8" s="4" t="s">
        <v>127</v>
      </c>
      <c r="E8" s="7">
        <v>85.14</v>
      </c>
      <c r="G8" t="s">
        <v>147</v>
      </c>
      <c r="H8" s="7">
        <v>355.91</v>
      </c>
      <c r="J8" s="8">
        <v>2517</v>
      </c>
      <c r="K8" s="7">
        <v>29.18</v>
      </c>
    </row>
    <row r="9" spans="2:11" x14ac:dyDescent="0.3">
      <c r="D9" s="5" t="s">
        <v>128</v>
      </c>
      <c r="E9" s="7">
        <v>112.86</v>
      </c>
      <c r="G9" t="s">
        <v>148</v>
      </c>
      <c r="H9" s="7">
        <v>458.62</v>
      </c>
      <c r="J9" s="9">
        <v>3020</v>
      </c>
      <c r="K9" s="7">
        <v>51.35</v>
      </c>
    </row>
    <row r="10" spans="2:11" x14ac:dyDescent="0.3">
      <c r="D10" s="4" t="s">
        <v>129</v>
      </c>
      <c r="E10" s="7">
        <v>142.56</v>
      </c>
      <c r="G10" t="s">
        <v>149</v>
      </c>
      <c r="H10" s="7">
        <v>597.49</v>
      </c>
      <c r="J10" s="8">
        <v>3525</v>
      </c>
      <c r="K10" s="7">
        <v>79.709999999999994</v>
      </c>
    </row>
    <row r="11" spans="2:11" x14ac:dyDescent="0.3">
      <c r="D11" s="5" t="s">
        <v>130</v>
      </c>
      <c r="E11" s="7">
        <v>221.76</v>
      </c>
      <c r="G11" t="s">
        <v>150</v>
      </c>
      <c r="H11" s="7"/>
      <c r="J11" s="9">
        <v>4030</v>
      </c>
      <c r="K11" s="7"/>
    </row>
    <row r="12" spans="2:11" x14ac:dyDescent="0.3">
      <c r="D12" s="4" t="s">
        <v>131</v>
      </c>
      <c r="E12" s="7">
        <v>272.25</v>
      </c>
      <c r="G12" t="s">
        <v>151</v>
      </c>
      <c r="H12" s="7">
        <v>849.69</v>
      </c>
      <c r="J12" s="8">
        <v>4535</v>
      </c>
      <c r="K12" s="7"/>
    </row>
    <row r="13" spans="2:11" ht="15" thickBot="1" x14ac:dyDescent="0.35">
      <c r="D13" s="5" t="s">
        <v>132</v>
      </c>
      <c r="E13" s="7">
        <v>417.78</v>
      </c>
      <c r="G13" t="s">
        <v>152</v>
      </c>
      <c r="H13" s="7"/>
      <c r="J13" s="10">
        <v>5040</v>
      </c>
      <c r="K13" s="7"/>
    </row>
    <row r="14" spans="2:11" x14ac:dyDescent="0.3">
      <c r="D14" s="4" t="s">
        <v>133</v>
      </c>
      <c r="E14" s="7"/>
      <c r="G14" t="s">
        <v>153</v>
      </c>
      <c r="H14" s="7"/>
    </row>
    <row r="15" spans="2:11" x14ac:dyDescent="0.3">
      <c r="D15" s="5" t="s">
        <v>134</v>
      </c>
      <c r="E15" s="7"/>
      <c r="G15" t="s">
        <v>154</v>
      </c>
      <c r="H15" s="7"/>
    </row>
    <row r="16" spans="2:11" x14ac:dyDescent="0.3">
      <c r="D16" s="4" t="s">
        <v>135</v>
      </c>
      <c r="E16" s="7"/>
      <c r="G16" t="s">
        <v>155</v>
      </c>
      <c r="H16" s="7"/>
    </row>
    <row r="17" spans="4:8" x14ac:dyDescent="0.3">
      <c r="D17" s="5" t="s">
        <v>136</v>
      </c>
      <c r="E17" s="7"/>
      <c r="G17" t="s">
        <v>156</v>
      </c>
      <c r="H17" s="7"/>
    </row>
    <row r="18" spans="4:8" x14ac:dyDescent="0.3">
      <c r="D18" s="4" t="s">
        <v>137</v>
      </c>
      <c r="E18" s="7"/>
      <c r="G18" t="s">
        <v>157</v>
      </c>
      <c r="H18" s="7"/>
    </row>
    <row r="19" spans="4:8" x14ac:dyDescent="0.3">
      <c r="D19" s="5" t="s">
        <v>138</v>
      </c>
      <c r="E19" s="7"/>
    </row>
    <row r="20" spans="4:8" ht="15" thickBot="1" x14ac:dyDescent="0.35">
      <c r="D20" s="6" t="s">
        <v>139</v>
      </c>
      <c r="E20" s="7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A240-502E-4D61-B009-FB4DBE15866F}">
  <dimension ref="C2:K36"/>
  <sheetViews>
    <sheetView topLeftCell="A3" workbookViewId="0">
      <selection activeCell="O16" sqref="O16"/>
    </sheetView>
  </sheetViews>
  <sheetFormatPr defaultRowHeight="14.4" x14ac:dyDescent="0.3"/>
  <cols>
    <col min="9" max="10" width="13.77734375" customWidth="1"/>
    <col min="11" max="11" width="12" customWidth="1"/>
  </cols>
  <sheetData>
    <row r="2" spans="3:11" x14ac:dyDescent="0.3">
      <c r="J2" s="3" t="s">
        <v>61</v>
      </c>
      <c r="K2" s="3"/>
    </row>
    <row r="3" spans="3:11" x14ac:dyDescent="0.3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I3" s="1" t="s">
        <v>60</v>
      </c>
      <c r="J3" s="1" t="s">
        <v>1</v>
      </c>
      <c r="K3" s="1" t="s">
        <v>64</v>
      </c>
    </row>
    <row r="4" spans="3:11" x14ac:dyDescent="0.3">
      <c r="C4" s="1" t="s">
        <v>5</v>
      </c>
      <c r="D4" s="1">
        <v>63</v>
      </c>
      <c r="E4" s="1">
        <v>63</v>
      </c>
      <c r="F4" s="1">
        <v>80</v>
      </c>
      <c r="G4" s="1">
        <v>80</v>
      </c>
      <c r="I4" s="1">
        <v>63</v>
      </c>
      <c r="J4" s="1">
        <v>11</v>
      </c>
      <c r="K4" s="1">
        <v>11</v>
      </c>
    </row>
    <row r="5" spans="3:11" x14ac:dyDescent="0.3">
      <c r="C5" s="1" t="s">
        <v>6</v>
      </c>
      <c r="D5" s="1">
        <v>71</v>
      </c>
      <c r="E5" s="1">
        <v>71</v>
      </c>
      <c r="F5" s="1">
        <v>80</v>
      </c>
      <c r="G5" s="1">
        <v>80</v>
      </c>
      <c r="I5" s="1">
        <v>71</v>
      </c>
      <c r="J5" s="1">
        <v>14</v>
      </c>
      <c r="K5" s="1">
        <v>14</v>
      </c>
    </row>
    <row r="6" spans="3:11" x14ac:dyDescent="0.3">
      <c r="C6" s="1" t="s">
        <v>7</v>
      </c>
      <c r="D6" s="1">
        <v>71</v>
      </c>
      <c r="E6" s="1">
        <v>71</v>
      </c>
      <c r="F6" s="1">
        <v>80</v>
      </c>
      <c r="G6" s="1" t="s">
        <v>8</v>
      </c>
      <c r="I6" s="1">
        <v>80</v>
      </c>
      <c r="J6" s="1">
        <v>19</v>
      </c>
      <c r="K6" s="1">
        <v>19</v>
      </c>
    </row>
    <row r="7" spans="3:11" x14ac:dyDescent="0.3">
      <c r="C7" s="1" t="s">
        <v>9</v>
      </c>
      <c r="D7" s="1">
        <v>71</v>
      </c>
      <c r="E7" s="1">
        <v>71</v>
      </c>
      <c r="F7" s="1">
        <v>80</v>
      </c>
      <c r="G7" s="1" t="s">
        <v>10</v>
      </c>
      <c r="I7" s="1" t="s">
        <v>8</v>
      </c>
      <c r="J7" s="1">
        <v>24</v>
      </c>
      <c r="K7" s="1">
        <v>24</v>
      </c>
    </row>
    <row r="8" spans="3:11" x14ac:dyDescent="0.3">
      <c r="C8" s="1" t="s">
        <v>11</v>
      </c>
      <c r="D8" s="1">
        <v>80</v>
      </c>
      <c r="E8" s="1">
        <v>80</v>
      </c>
      <c r="F8" s="1" t="s">
        <v>8</v>
      </c>
      <c r="G8" s="1" t="s">
        <v>12</v>
      </c>
      <c r="I8" s="1" t="s">
        <v>10</v>
      </c>
      <c r="J8" s="1">
        <v>24</v>
      </c>
      <c r="K8" s="1">
        <v>24</v>
      </c>
    </row>
    <row r="9" spans="3:11" x14ac:dyDescent="0.3">
      <c r="C9" s="1" t="s">
        <v>13</v>
      </c>
      <c r="D9" s="1">
        <v>80</v>
      </c>
      <c r="E9" s="1">
        <v>80</v>
      </c>
      <c r="F9" s="1" t="s">
        <v>10</v>
      </c>
      <c r="G9" s="1" t="s">
        <v>12</v>
      </c>
      <c r="I9" s="1" t="s">
        <v>12</v>
      </c>
      <c r="J9" s="1">
        <v>28</v>
      </c>
      <c r="K9" s="1">
        <v>28</v>
      </c>
    </row>
    <row r="10" spans="3:11" x14ac:dyDescent="0.3">
      <c r="C10" s="1" t="s">
        <v>14</v>
      </c>
      <c r="D10" s="1" t="s">
        <v>8</v>
      </c>
      <c r="E10" s="1" t="s">
        <v>8</v>
      </c>
      <c r="F10" s="1" t="s">
        <v>12</v>
      </c>
      <c r="G10" s="1" t="s">
        <v>15</v>
      </c>
      <c r="I10" s="1" t="s">
        <v>15</v>
      </c>
      <c r="J10" s="1">
        <v>28</v>
      </c>
      <c r="K10" s="1">
        <v>28</v>
      </c>
    </row>
    <row r="11" spans="3:11" x14ac:dyDescent="0.3">
      <c r="C11" s="1" t="s">
        <v>16</v>
      </c>
      <c r="D11" s="1" t="s">
        <v>10</v>
      </c>
      <c r="E11" s="1" t="s">
        <v>10</v>
      </c>
      <c r="F11" s="1" t="s">
        <v>15</v>
      </c>
      <c r="G11" s="1" t="s">
        <v>17</v>
      </c>
      <c r="I11" s="1" t="s">
        <v>17</v>
      </c>
      <c r="J11" s="1">
        <v>38</v>
      </c>
      <c r="K11" s="1">
        <v>38</v>
      </c>
    </row>
    <row r="12" spans="3:11" x14ac:dyDescent="0.3">
      <c r="C12" s="1" t="s">
        <v>18</v>
      </c>
      <c r="D12" s="1" t="s">
        <v>12</v>
      </c>
      <c r="E12" s="1" t="s">
        <v>12</v>
      </c>
      <c r="F12" s="1" t="s">
        <v>17</v>
      </c>
      <c r="G12" s="1" t="s">
        <v>19</v>
      </c>
      <c r="I12" s="1" t="s">
        <v>19</v>
      </c>
      <c r="J12" s="1">
        <v>38</v>
      </c>
      <c r="K12" s="1">
        <v>38</v>
      </c>
    </row>
    <row r="13" spans="3:11" x14ac:dyDescent="0.3">
      <c r="C13" s="1" t="s">
        <v>20</v>
      </c>
      <c r="D13" s="1" t="s">
        <v>15</v>
      </c>
      <c r="E13" s="1" t="s">
        <v>15</v>
      </c>
      <c r="F13" s="1" t="s">
        <v>19</v>
      </c>
      <c r="G13" s="1" t="s">
        <v>21</v>
      </c>
      <c r="I13" s="1" t="s">
        <v>21</v>
      </c>
      <c r="J13" s="1">
        <v>42</v>
      </c>
      <c r="K13" s="1">
        <v>42</v>
      </c>
    </row>
    <row r="14" spans="3:11" x14ac:dyDescent="0.3">
      <c r="C14" s="1" t="s">
        <v>22</v>
      </c>
      <c r="D14" s="1" t="s">
        <v>17</v>
      </c>
      <c r="E14" s="1" t="s">
        <v>17</v>
      </c>
      <c r="F14" s="1" t="s">
        <v>19</v>
      </c>
      <c r="G14" s="1" t="s">
        <v>21</v>
      </c>
      <c r="I14" s="1" t="s">
        <v>24</v>
      </c>
      <c r="J14" s="1">
        <v>42</v>
      </c>
      <c r="K14" s="1">
        <v>42</v>
      </c>
    </row>
    <row r="15" spans="3:11" x14ac:dyDescent="0.3">
      <c r="C15" s="1" t="s">
        <v>23</v>
      </c>
      <c r="D15" s="1" t="s">
        <v>17</v>
      </c>
      <c r="E15" s="1" t="s">
        <v>17</v>
      </c>
      <c r="F15" s="1" t="s">
        <v>21</v>
      </c>
      <c r="G15" s="1" t="s">
        <v>24</v>
      </c>
      <c r="I15" s="1" t="s">
        <v>32</v>
      </c>
      <c r="J15" s="1">
        <v>48</v>
      </c>
      <c r="K15" s="1">
        <v>48</v>
      </c>
    </row>
    <row r="16" spans="3:11" x14ac:dyDescent="0.3">
      <c r="C16" s="1" t="s">
        <v>25</v>
      </c>
      <c r="D16" s="1" t="s">
        <v>21</v>
      </c>
      <c r="E16" s="1" t="s">
        <v>21</v>
      </c>
      <c r="F16" s="1" t="s">
        <v>24</v>
      </c>
      <c r="G16" s="1" t="s">
        <v>26</v>
      </c>
      <c r="I16" s="1" t="s">
        <v>26</v>
      </c>
      <c r="J16" s="1">
        <v>48</v>
      </c>
      <c r="K16" s="1">
        <v>48</v>
      </c>
    </row>
    <row r="17" spans="3:11" x14ac:dyDescent="0.3">
      <c r="C17" s="1" t="s">
        <v>27</v>
      </c>
      <c r="D17" s="1" t="s">
        <v>21</v>
      </c>
      <c r="E17" s="1" t="s">
        <v>21</v>
      </c>
      <c r="F17" s="1" t="s">
        <v>26</v>
      </c>
      <c r="G17" s="1" t="s">
        <v>28</v>
      </c>
      <c r="I17" s="1" t="s">
        <v>28</v>
      </c>
      <c r="J17" s="1">
        <v>55</v>
      </c>
      <c r="K17" s="1">
        <v>55</v>
      </c>
    </row>
    <row r="18" spans="3:11" x14ac:dyDescent="0.3">
      <c r="C18" s="1" t="s">
        <v>29</v>
      </c>
      <c r="D18" s="1" t="s">
        <v>24</v>
      </c>
      <c r="E18" s="1" t="s">
        <v>24</v>
      </c>
      <c r="F18" s="1" t="s">
        <v>28</v>
      </c>
      <c r="G18" s="1" t="s">
        <v>30</v>
      </c>
      <c r="I18" s="1" t="s">
        <v>30</v>
      </c>
      <c r="J18" s="1">
        <v>55</v>
      </c>
      <c r="K18" s="1">
        <v>60</v>
      </c>
    </row>
    <row r="19" spans="3:11" x14ac:dyDescent="0.3">
      <c r="C19" s="1" t="s">
        <v>31</v>
      </c>
      <c r="D19" s="1" t="s">
        <v>32</v>
      </c>
      <c r="E19" s="1" t="s">
        <v>32</v>
      </c>
      <c r="F19" s="1" t="s">
        <v>28</v>
      </c>
      <c r="G19" s="1" t="s">
        <v>33</v>
      </c>
      <c r="I19" s="1" t="s">
        <v>33</v>
      </c>
      <c r="J19" s="1">
        <v>60</v>
      </c>
      <c r="K19" s="1">
        <v>60</v>
      </c>
    </row>
    <row r="20" spans="3:11" x14ac:dyDescent="0.3">
      <c r="C20" s="1" t="s">
        <v>34</v>
      </c>
      <c r="D20" s="1" t="s">
        <v>28</v>
      </c>
      <c r="E20" s="1" t="s">
        <v>28</v>
      </c>
      <c r="F20" s="1" t="s">
        <v>33</v>
      </c>
      <c r="G20" s="1" t="s">
        <v>35</v>
      </c>
      <c r="I20" s="1" t="s">
        <v>35</v>
      </c>
      <c r="J20" s="1">
        <v>60</v>
      </c>
      <c r="K20" s="1">
        <v>65</v>
      </c>
    </row>
    <row r="21" spans="3:11" x14ac:dyDescent="0.3">
      <c r="C21" s="1" t="s">
        <v>36</v>
      </c>
      <c r="D21" s="1" t="s">
        <v>28</v>
      </c>
      <c r="E21" s="1" t="s">
        <v>28</v>
      </c>
      <c r="F21" s="1" t="s">
        <v>35</v>
      </c>
      <c r="G21" s="1" t="s">
        <v>37</v>
      </c>
      <c r="I21" s="1" t="s">
        <v>37</v>
      </c>
      <c r="J21" s="1">
        <v>65</v>
      </c>
      <c r="K21" s="1">
        <v>75</v>
      </c>
    </row>
    <row r="22" spans="3:11" x14ac:dyDescent="0.3">
      <c r="C22" s="1" t="s">
        <v>38</v>
      </c>
      <c r="D22" s="1" t="s">
        <v>33</v>
      </c>
      <c r="E22" s="1" t="s">
        <v>33</v>
      </c>
      <c r="F22" s="1" t="s">
        <v>37</v>
      </c>
      <c r="G22" s="1" t="s">
        <v>39</v>
      </c>
      <c r="I22" s="1" t="s">
        <v>39</v>
      </c>
      <c r="J22" s="1">
        <v>65</v>
      </c>
      <c r="K22" s="1">
        <v>75</v>
      </c>
    </row>
    <row r="23" spans="3:11" x14ac:dyDescent="0.3">
      <c r="C23" s="1" t="s">
        <v>40</v>
      </c>
      <c r="D23" s="1" t="s">
        <v>35</v>
      </c>
      <c r="E23" s="1" t="s">
        <v>35</v>
      </c>
      <c r="F23" s="1" t="s">
        <v>39</v>
      </c>
      <c r="G23" s="1" t="s">
        <v>41</v>
      </c>
      <c r="I23" s="1" t="s">
        <v>41</v>
      </c>
      <c r="J23" s="1">
        <v>65</v>
      </c>
      <c r="K23" s="1">
        <v>80</v>
      </c>
    </row>
    <row r="24" spans="3:11" x14ac:dyDescent="0.3">
      <c r="C24" s="1" t="s">
        <v>42</v>
      </c>
      <c r="D24" s="1" t="s">
        <v>37</v>
      </c>
      <c r="E24" s="1" t="s">
        <v>37</v>
      </c>
      <c r="F24" s="1" t="s">
        <v>41</v>
      </c>
      <c r="G24" s="1" t="s">
        <v>43</v>
      </c>
      <c r="I24" s="1" t="s">
        <v>43</v>
      </c>
      <c r="J24" s="1">
        <v>65</v>
      </c>
      <c r="K24" s="1">
        <v>80</v>
      </c>
    </row>
    <row r="25" spans="3:11" x14ac:dyDescent="0.3">
      <c r="C25" s="1" t="s">
        <v>44</v>
      </c>
      <c r="D25" s="1" t="s">
        <v>39</v>
      </c>
      <c r="E25" s="1" t="s">
        <v>39</v>
      </c>
      <c r="F25" s="1" t="s">
        <v>43</v>
      </c>
      <c r="G25" s="1" t="s">
        <v>45</v>
      </c>
      <c r="I25" s="1" t="s">
        <v>45</v>
      </c>
      <c r="J25" s="1">
        <v>65</v>
      </c>
      <c r="K25" s="1">
        <v>80</v>
      </c>
    </row>
    <row r="26" spans="3:11" x14ac:dyDescent="0.3">
      <c r="C26" s="1" t="s">
        <v>46</v>
      </c>
      <c r="D26" s="1" t="s">
        <v>41</v>
      </c>
      <c r="E26" s="1" t="s">
        <v>41</v>
      </c>
      <c r="F26" s="1" t="s">
        <v>45</v>
      </c>
      <c r="G26" s="1" t="s">
        <v>45</v>
      </c>
      <c r="I26" s="1" t="s">
        <v>48</v>
      </c>
      <c r="J26" s="1">
        <v>75</v>
      </c>
      <c r="K26" s="1">
        <v>95</v>
      </c>
    </row>
    <row r="27" spans="3:11" x14ac:dyDescent="0.3">
      <c r="C27" s="1" t="s">
        <v>47</v>
      </c>
      <c r="D27" s="1" t="s">
        <v>43</v>
      </c>
      <c r="E27" s="1" t="s">
        <v>43</v>
      </c>
      <c r="F27" s="1" t="s">
        <v>45</v>
      </c>
      <c r="G27" s="1" t="s">
        <v>48</v>
      </c>
      <c r="I27" s="1" t="s">
        <v>52</v>
      </c>
      <c r="J27" s="1">
        <v>75</v>
      </c>
      <c r="K27" s="1">
        <v>95</v>
      </c>
    </row>
    <row r="28" spans="3:11" x14ac:dyDescent="0.3">
      <c r="C28" s="1" t="s">
        <v>49</v>
      </c>
      <c r="D28" s="1" t="s">
        <v>45</v>
      </c>
      <c r="E28" s="1" t="s">
        <v>45</v>
      </c>
      <c r="F28" s="1" t="s">
        <v>48</v>
      </c>
      <c r="G28" s="1" t="s">
        <v>48</v>
      </c>
      <c r="I28" s="1" t="s">
        <v>62</v>
      </c>
      <c r="J28" s="1">
        <v>85</v>
      </c>
      <c r="K28" s="1">
        <v>110</v>
      </c>
    </row>
    <row r="29" spans="3:11" x14ac:dyDescent="0.3">
      <c r="C29" s="1" t="s">
        <v>50</v>
      </c>
      <c r="D29" s="1" t="s">
        <v>45</v>
      </c>
      <c r="E29" s="1" t="s">
        <v>45</v>
      </c>
      <c r="F29" s="1" t="s">
        <v>48</v>
      </c>
      <c r="G29" s="1" t="s">
        <v>48</v>
      </c>
      <c r="I29" s="1" t="s">
        <v>63</v>
      </c>
      <c r="J29" s="1">
        <v>85</v>
      </c>
      <c r="K29" s="1">
        <v>110</v>
      </c>
    </row>
    <row r="30" spans="3:11" x14ac:dyDescent="0.3">
      <c r="C30" s="1" t="s">
        <v>51</v>
      </c>
      <c r="D30" s="1" t="s">
        <v>45</v>
      </c>
      <c r="E30" s="1" t="s">
        <v>45</v>
      </c>
      <c r="F30" s="1" t="s">
        <v>48</v>
      </c>
      <c r="G30" s="1" t="s">
        <v>52</v>
      </c>
    </row>
    <row r="31" spans="3:11" x14ac:dyDescent="0.3">
      <c r="C31" s="1" t="s">
        <v>53</v>
      </c>
      <c r="D31" s="1" t="s">
        <v>45</v>
      </c>
      <c r="E31" s="1" t="s">
        <v>45</v>
      </c>
      <c r="F31" s="1" t="s">
        <v>48</v>
      </c>
      <c r="G31" s="1" t="s">
        <v>52</v>
      </c>
    </row>
    <row r="32" spans="3:11" x14ac:dyDescent="0.3">
      <c r="C32" s="1" t="s">
        <v>54</v>
      </c>
      <c r="D32" s="1" t="s">
        <v>48</v>
      </c>
      <c r="E32" s="1" t="s">
        <v>48</v>
      </c>
      <c r="F32" s="1" t="s">
        <v>52</v>
      </c>
      <c r="G32" s="1" t="s">
        <v>55</v>
      </c>
    </row>
    <row r="33" spans="3:7" x14ac:dyDescent="0.3">
      <c r="C33" s="1" t="s">
        <v>56</v>
      </c>
      <c r="D33" s="1" t="s">
        <v>48</v>
      </c>
      <c r="E33" s="1" t="s">
        <v>48</v>
      </c>
      <c r="F33" s="1" t="s">
        <v>52</v>
      </c>
      <c r="G33" s="1" t="s">
        <v>55</v>
      </c>
    </row>
    <row r="34" spans="3:7" x14ac:dyDescent="0.3">
      <c r="C34" s="1" t="s">
        <v>57</v>
      </c>
      <c r="D34" s="1" t="s">
        <v>52</v>
      </c>
      <c r="E34" s="1" t="s">
        <v>52</v>
      </c>
      <c r="F34" s="1" t="s">
        <v>55</v>
      </c>
      <c r="G34" s="1" t="s">
        <v>55</v>
      </c>
    </row>
    <row r="35" spans="3:7" x14ac:dyDescent="0.3">
      <c r="C35" s="1" t="s">
        <v>58</v>
      </c>
      <c r="D35" s="1" t="s">
        <v>52</v>
      </c>
      <c r="E35" s="1" t="s">
        <v>52</v>
      </c>
      <c r="F35" s="1" t="s">
        <v>55</v>
      </c>
      <c r="G35" s="1" t="s">
        <v>55</v>
      </c>
    </row>
    <row r="36" spans="3:7" x14ac:dyDescent="0.3">
      <c r="C36" s="1" t="s">
        <v>59</v>
      </c>
      <c r="D36" s="1" t="s">
        <v>52</v>
      </c>
      <c r="E36" s="1" t="s">
        <v>52</v>
      </c>
      <c r="F36" s="1" t="s">
        <v>55</v>
      </c>
      <c r="G36" s="1" t="s">
        <v>55</v>
      </c>
    </row>
  </sheetData>
  <mergeCells count="1">
    <mergeCell ref="J2:K2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1A31-8E33-4EC8-9A5B-1AB805E2C935}">
  <dimension ref="B2:C59"/>
  <sheetViews>
    <sheetView workbookViewId="0">
      <selection activeCell="F12" sqref="F12"/>
    </sheetView>
  </sheetViews>
  <sheetFormatPr defaultRowHeight="14.4" x14ac:dyDescent="0.3"/>
  <cols>
    <col min="3" max="3" width="10.5546875" customWidth="1"/>
  </cols>
  <sheetData>
    <row r="2" spans="2:3" x14ac:dyDescent="0.3">
      <c r="B2" t="s">
        <v>122</v>
      </c>
    </row>
    <row r="3" spans="2:3" x14ac:dyDescent="0.3">
      <c r="B3" s="2" t="s">
        <v>65</v>
      </c>
      <c r="C3" t="s">
        <v>61</v>
      </c>
    </row>
    <row r="4" spans="2:3" x14ac:dyDescent="0.3">
      <c r="B4" s="2" t="s">
        <v>66</v>
      </c>
      <c r="C4">
        <v>24</v>
      </c>
    </row>
    <row r="5" spans="2:3" x14ac:dyDescent="0.3">
      <c r="B5" s="2" t="s">
        <v>67</v>
      </c>
      <c r="C5">
        <v>24</v>
      </c>
    </row>
    <row r="6" spans="2:3" x14ac:dyDescent="0.3">
      <c r="B6" s="2" t="s">
        <v>68</v>
      </c>
      <c r="C6">
        <v>24</v>
      </c>
    </row>
    <row r="7" spans="2:3" x14ac:dyDescent="0.3">
      <c r="B7" s="2" t="s">
        <v>69</v>
      </c>
      <c r="C7">
        <v>24</v>
      </c>
    </row>
    <row r="8" spans="2:3" x14ac:dyDescent="0.3">
      <c r="B8" s="2" t="s">
        <v>70</v>
      </c>
      <c r="C8">
        <v>24</v>
      </c>
    </row>
    <row r="9" spans="2:3" x14ac:dyDescent="0.3">
      <c r="B9" s="2" t="s">
        <v>71</v>
      </c>
      <c r="C9">
        <v>24</v>
      </c>
    </row>
    <row r="10" spans="2:3" x14ac:dyDescent="0.3">
      <c r="B10" s="2" t="s">
        <v>72</v>
      </c>
      <c r="C10">
        <v>24</v>
      </c>
    </row>
    <row r="11" spans="2:3" x14ac:dyDescent="0.3">
      <c r="B11" s="2" t="s">
        <v>73</v>
      </c>
      <c r="C11">
        <v>24</v>
      </c>
    </row>
    <row r="12" spans="2:3" x14ac:dyDescent="0.3">
      <c r="B12" s="2" t="s">
        <v>74</v>
      </c>
      <c r="C12">
        <v>32</v>
      </c>
    </row>
    <row r="13" spans="2:3" x14ac:dyDescent="0.3">
      <c r="B13" s="2" t="s">
        <v>75</v>
      </c>
      <c r="C13">
        <v>32</v>
      </c>
    </row>
    <row r="14" spans="2:3" x14ac:dyDescent="0.3">
      <c r="B14" s="2" t="s">
        <v>76</v>
      </c>
      <c r="C14">
        <v>42</v>
      </c>
    </row>
    <row r="15" spans="2:3" x14ac:dyDescent="0.3">
      <c r="B15" s="2" t="s">
        <v>77</v>
      </c>
      <c r="C15">
        <v>24</v>
      </c>
    </row>
    <row r="16" spans="2:3" x14ac:dyDescent="0.3">
      <c r="B16" s="2" t="s">
        <v>78</v>
      </c>
      <c r="C16">
        <v>24</v>
      </c>
    </row>
    <row r="17" spans="2:3" x14ac:dyDescent="0.3">
      <c r="B17" s="2" t="s">
        <v>79</v>
      </c>
      <c r="C17">
        <v>24</v>
      </c>
    </row>
    <row r="18" spans="2:3" x14ac:dyDescent="0.3">
      <c r="B18" s="2" t="s">
        <v>80</v>
      </c>
      <c r="C18">
        <v>24</v>
      </c>
    </row>
    <row r="19" spans="2:3" x14ac:dyDescent="0.3">
      <c r="B19" s="2" t="s">
        <v>81</v>
      </c>
      <c r="C19">
        <v>32</v>
      </c>
    </row>
    <row r="20" spans="2:3" x14ac:dyDescent="0.3">
      <c r="B20" s="2" t="s">
        <v>82</v>
      </c>
      <c r="C20">
        <v>32</v>
      </c>
    </row>
    <row r="21" spans="2:3" x14ac:dyDescent="0.3">
      <c r="B21" s="2" t="s">
        <v>83</v>
      </c>
      <c r="C21">
        <v>32</v>
      </c>
    </row>
    <row r="22" spans="2:3" x14ac:dyDescent="0.3">
      <c r="B22" s="2" t="s">
        <v>84</v>
      </c>
      <c r="C22">
        <v>42</v>
      </c>
    </row>
    <row r="23" spans="2:3" x14ac:dyDescent="0.3">
      <c r="B23" s="2" t="s">
        <v>85</v>
      </c>
      <c r="C23">
        <v>24</v>
      </c>
    </row>
    <row r="24" spans="2:3" x14ac:dyDescent="0.3">
      <c r="B24" s="2" t="s">
        <v>86</v>
      </c>
      <c r="C24">
        <v>24</v>
      </c>
    </row>
    <row r="25" spans="2:3" x14ac:dyDescent="0.3">
      <c r="B25" s="2" t="s">
        <v>87</v>
      </c>
      <c r="C25">
        <v>24</v>
      </c>
    </row>
    <row r="26" spans="2:3" x14ac:dyDescent="0.3">
      <c r="B26" s="2" t="s">
        <v>88</v>
      </c>
      <c r="C26">
        <v>32</v>
      </c>
    </row>
    <row r="27" spans="2:3" x14ac:dyDescent="0.3">
      <c r="B27" s="2" t="s">
        <v>89</v>
      </c>
      <c r="C27">
        <v>32</v>
      </c>
    </row>
    <row r="28" spans="2:3" x14ac:dyDescent="0.3">
      <c r="B28" s="2" t="s">
        <v>90</v>
      </c>
      <c r="C28">
        <v>32</v>
      </c>
    </row>
    <row r="29" spans="2:3" x14ac:dyDescent="0.3">
      <c r="B29" s="2" t="s">
        <v>91</v>
      </c>
      <c r="C29">
        <v>32</v>
      </c>
    </row>
    <row r="30" spans="2:3" x14ac:dyDescent="0.3">
      <c r="B30" s="2" t="s">
        <v>92</v>
      </c>
      <c r="C30">
        <v>42</v>
      </c>
    </row>
    <row r="31" spans="2:3" x14ac:dyDescent="0.3">
      <c r="B31" s="2" t="s">
        <v>93</v>
      </c>
      <c r="C31">
        <v>24</v>
      </c>
    </row>
    <row r="32" spans="2:3" x14ac:dyDescent="0.3">
      <c r="B32" s="2" t="s">
        <v>94</v>
      </c>
      <c r="C32">
        <v>32</v>
      </c>
    </row>
    <row r="33" spans="2:3" x14ac:dyDescent="0.3">
      <c r="B33" s="2" t="s">
        <v>95</v>
      </c>
      <c r="C33">
        <v>32</v>
      </c>
    </row>
    <row r="34" spans="2:3" x14ac:dyDescent="0.3">
      <c r="B34" s="2" t="s">
        <v>96</v>
      </c>
      <c r="C34">
        <v>32</v>
      </c>
    </row>
    <row r="35" spans="2:3" x14ac:dyDescent="0.3">
      <c r="B35" s="2" t="s">
        <v>97</v>
      </c>
      <c r="C35">
        <v>32</v>
      </c>
    </row>
    <row r="36" spans="2:3" x14ac:dyDescent="0.3">
      <c r="B36" s="2" t="s">
        <v>98</v>
      </c>
      <c r="C36">
        <v>42</v>
      </c>
    </row>
    <row r="37" spans="2:3" x14ac:dyDescent="0.3">
      <c r="B37" s="2" t="s">
        <v>99</v>
      </c>
      <c r="C37">
        <v>42</v>
      </c>
    </row>
    <row r="38" spans="2:3" x14ac:dyDescent="0.3">
      <c r="B38" s="2" t="s">
        <v>100</v>
      </c>
      <c r="C38">
        <v>32</v>
      </c>
    </row>
    <row r="39" spans="2:3" x14ac:dyDescent="0.3">
      <c r="B39" s="2" t="s">
        <v>101</v>
      </c>
      <c r="C39">
        <v>32</v>
      </c>
    </row>
    <row r="40" spans="2:3" x14ac:dyDescent="0.3">
      <c r="B40" s="2" t="s">
        <v>102</v>
      </c>
      <c r="C40">
        <v>32</v>
      </c>
    </row>
    <row r="41" spans="2:3" x14ac:dyDescent="0.3">
      <c r="B41" s="2" t="s">
        <v>103</v>
      </c>
      <c r="C41">
        <v>32</v>
      </c>
    </row>
    <row r="42" spans="2:3" x14ac:dyDescent="0.3">
      <c r="B42" s="2" t="s">
        <v>104</v>
      </c>
      <c r="C42">
        <v>42</v>
      </c>
    </row>
    <row r="43" spans="2:3" x14ac:dyDescent="0.3">
      <c r="B43" s="2" t="s">
        <v>105</v>
      </c>
      <c r="C43">
        <v>32</v>
      </c>
    </row>
    <row r="44" spans="2:3" x14ac:dyDescent="0.3">
      <c r="B44" s="2" t="s">
        <v>106</v>
      </c>
      <c r="C44">
        <v>42</v>
      </c>
    </row>
    <row r="45" spans="2:3" x14ac:dyDescent="0.3">
      <c r="B45" s="2" t="s">
        <v>107</v>
      </c>
      <c r="C45">
        <v>42</v>
      </c>
    </row>
    <row r="46" spans="2:3" x14ac:dyDescent="0.3">
      <c r="B46" s="2" t="s">
        <v>108</v>
      </c>
      <c r="C46">
        <v>32</v>
      </c>
    </row>
    <row r="47" spans="2:3" x14ac:dyDescent="0.3">
      <c r="B47" s="2" t="s">
        <v>109</v>
      </c>
      <c r="C47">
        <v>32</v>
      </c>
    </row>
    <row r="48" spans="2:3" x14ac:dyDescent="0.3">
      <c r="B48" s="2" t="s">
        <v>110</v>
      </c>
      <c r="C48">
        <v>42</v>
      </c>
    </row>
    <row r="49" spans="2:3" x14ac:dyDescent="0.3">
      <c r="B49" s="2" t="s">
        <v>111</v>
      </c>
      <c r="C49">
        <v>42</v>
      </c>
    </row>
    <row r="50" spans="2:3" x14ac:dyDescent="0.3">
      <c r="B50" s="2" t="s">
        <v>112</v>
      </c>
      <c r="C50">
        <v>42</v>
      </c>
    </row>
    <row r="51" spans="2:3" x14ac:dyDescent="0.3">
      <c r="B51" s="2" t="s">
        <v>113</v>
      </c>
      <c r="C51">
        <v>32</v>
      </c>
    </row>
    <row r="52" spans="2:3" x14ac:dyDescent="0.3">
      <c r="B52" s="2" t="s">
        <v>114</v>
      </c>
      <c r="C52">
        <v>42</v>
      </c>
    </row>
    <row r="53" spans="2:3" x14ac:dyDescent="0.3">
      <c r="B53" s="2" t="s">
        <v>115</v>
      </c>
      <c r="C53">
        <v>42</v>
      </c>
    </row>
    <row r="54" spans="2:3" x14ac:dyDescent="0.3">
      <c r="B54" s="2" t="s">
        <v>116</v>
      </c>
      <c r="C54">
        <v>42</v>
      </c>
    </row>
    <row r="55" spans="2:3" x14ac:dyDescent="0.3">
      <c r="B55" s="2" t="s">
        <v>117</v>
      </c>
      <c r="C55">
        <v>42</v>
      </c>
    </row>
    <row r="56" spans="2:3" x14ac:dyDescent="0.3">
      <c r="B56" s="2" t="s">
        <v>118</v>
      </c>
      <c r="C56">
        <v>48</v>
      </c>
    </row>
    <row r="57" spans="2:3" x14ac:dyDescent="0.3">
      <c r="B57" s="2" t="s">
        <v>119</v>
      </c>
      <c r="C57">
        <v>48</v>
      </c>
    </row>
    <row r="58" spans="2:3" x14ac:dyDescent="0.3">
      <c r="B58" s="2" t="s">
        <v>120</v>
      </c>
      <c r="C58">
        <v>48</v>
      </c>
    </row>
    <row r="59" spans="2:3" x14ac:dyDescent="0.3">
      <c r="B59" s="2" t="s">
        <v>121</v>
      </c>
      <c r="C59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8F7A-AA78-4CEC-B802-E44D5F15571A}">
  <dimension ref="B2:Q20"/>
  <sheetViews>
    <sheetView workbookViewId="0">
      <selection activeCell="P4" sqref="P4:P13"/>
    </sheetView>
  </sheetViews>
  <sheetFormatPr defaultRowHeight="14.4" x14ac:dyDescent="0.3"/>
  <cols>
    <col min="3" max="3" width="13.21875" customWidth="1"/>
    <col min="4" max="4" width="16.5546875" style="1" customWidth="1"/>
    <col min="6" max="6" width="14.5546875" bestFit="1" customWidth="1"/>
    <col min="10" max="10" width="13.77734375" customWidth="1"/>
    <col min="11" max="11" width="16.5546875" customWidth="1"/>
    <col min="16" max="16" width="10.44140625" customWidth="1"/>
    <col min="17" max="17" width="14.109375" customWidth="1"/>
  </cols>
  <sheetData>
    <row r="2" spans="2:17" x14ac:dyDescent="0.3">
      <c r="L2" s="1" t="s">
        <v>161</v>
      </c>
      <c r="M2" s="1" t="s">
        <v>158</v>
      </c>
    </row>
    <row r="3" spans="2:17" x14ac:dyDescent="0.3">
      <c r="B3" t="s">
        <v>65</v>
      </c>
      <c r="C3" t="s">
        <v>140</v>
      </c>
      <c r="D3" s="1" t="s">
        <v>141</v>
      </c>
      <c r="E3" s="1" t="s">
        <v>142</v>
      </c>
      <c r="F3" t="s">
        <v>143</v>
      </c>
      <c r="I3" t="s">
        <v>65</v>
      </c>
      <c r="J3" t="s">
        <v>140</v>
      </c>
      <c r="K3" t="s">
        <v>141</v>
      </c>
      <c r="L3" s="1" t="s">
        <v>159</v>
      </c>
      <c r="M3" s="1" t="s">
        <v>160</v>
      </c>
      <c r="P3" t="s">
        <v>163</v>
      </c>
      <c r="Q3" t="s">
        <v>143</v>
      </c>
    </row>
    <row r="4" spans="2:17" x14ac:dyDescent="0.3">
      <c r="B4" t="s">
        <v>123</v>
      </c>
      <c r="C4">
        <v>4</v>
      </c>
      <c r="D4" s="1">
        <v>4000</v>
      </c>
      <c r="E4" s="1">
        <v>35.5</v>
      </c>
      <c r="F4" s="1">
        <f>ROUND(MIN((FCLT[[#This Row],[D1]]*0.7),(FCLT[[#This Row],[D1]]-10)),0)</f>
        <v>25</v>
      </c>
      <c r="I4" t="s">
        <v>144</v>
      </c>
      <c r="J4" s="1">
        <v>24</v>
      </c>
      <c r="K4" s="1">
        <v>4500</v>
      </c>
      <c r="L4" s="1">
        <v>1008</v>
      </c>
      <c r="M4" s="1">
        <v>1008</v>
      </c>
      <c r="P4" s="1">
        <v>1008</v>
      </c>
      <c r="Q4" s="1">
        <v>24</v>
      </c>
    </row>
    <row r="5" spans="2:17" x14ac:dyDescent="0.3">
      <c r="B5" t="s">
        <v>124</v>
      </c>
      <c r="C5">
        <v>10</v>
      </c>
      <c r="D5" s="1">
        <v>4000</v>
      </c>
      <c r="E5" s="1">
        <v>40</v>
      </c>
      <c r="F5" s="1">
        <f>ROUND(MIN((FCLT[[#This Row],[D1]]*0.7),(FCLT[[#This Row],[D1]]-10)),0)</f>
        <v>28</v>
      </c>
      <c r="I5" t="s">
        <v>145</v>
      </c>
      <c r="J5" s="1">
        <v>66</v>
      </c>
      <c r="K5" s="1">
        <v>4500</v>
      </c>
      <c r="L5" s="1">
        <v>1210</v>
      </c>
      <c r="M5" s="1">
        <v>1210</v>
      </c>
      <c r="P5" s="1">
        <v>1210</v>
      </c>
      <c r="Q5" s="1">
        <v>32</v>
      </c>
    </row>
    <row r="6" spans="2:17" x14ac:dyDescent="0.3">
      <c r="B6" t="s">
        <v>125</v>
      </c>
      <c r="C6">
        <v>16</v>
      </c>
      <c r="D6" s="1">
        <v>4000</v>
      </c>
      <c r="E6" s="1">
        <v>45</v>
      </c>
      <c r="F6" s="1">
        <f>ROUND(MIN((FCLT[[#This Row],[D1]]*0.7),(FCLT[[#This Row],[D1]]-10)),0)</f>
        <v>32</v>
      </c>
      <c r="I6" t="s">
        <v>146</v>
      </c>
      <c r="J6" s="1">
        <v>127</v>
      </c>
      <c r="K6" s="1">
        <v>4000</v>
      </c>
      <c r="L6" s="1">
        <v>1610</v>
      </c>
      <c r="M6" s="1">
        <v>1610</v>
      </c>
      <c r="P6" s="1">
        <v>1610</v>
      </c>
      <c r="Q6" s="1">
        <v>42</v>
      </c>
    </row>
    <row r="7" spans="2:17" x14ac:dyDescent="0.3">
      <c r="B7" t="s">
        <v>126</v>
      </c>
      <c r="C7">
        <v>25</v>
      </c>
      <c r="D7" s="1">
        <v>4000</v>
      </c>
      <c r="E7" s="1">
        <v>50</v>
      </c>
      <c r="F7" s="1">
        <f>ROUND(MIN((FCLT[[#This Row],[D1]]*0.7),(FCLT[[#This Row],[D1]]-10)),0)</f>
        <v>35</v>
      </c>
      <c r="I7" t="s">
        <v>164</v>
      </c>
      <c r="J7" s="1">
        <v>250</v>
      </c>
      <c r="K7" s="1">
        <v>3600</v>
      </c>
      <c r="L7" s="1">
        <v>2012</v>
      </c>
      <c r="M7" s="1">
        <v>1610</v>
      </c>
      <c r="P7" s="1">
        <v>2012</v>
      </c>
      <c r="Q7" s="1">
        <v>50</v>
      </c>
    </row>
    <row r="8" spans="2:17" x14ac:dyDescent="0.3">
      <c r="B8" t="s">
        <v>127</v>
      </c>
      <c r="C8">
        <v>50</v>
      </c>
      <c r="D8" s="1">
        <v>4000</v>
      </c>
      <c r="E8" s="1">
        <v>63</v>
      </c>
      <c r="F8" s="1">
        <f>ROUND(MIN((FCLT[[#This Row],[D1]]*0.7),(FCLT[[#This Row],[D1]]-10)),0)</f>
        <v>44</v>
      </c>
      <c r="I8" t="s">
        <v>147</v>
      </c>
      <c r="J8" s="1">
        <v>375</v>
      </c>
      <c r="K8" s="1">
        <v>3100</v>
      </c>
      <c r="L8" s="1">
        <v>2517</v>
      </c>
      <c r="M8" s="1">
        <v>2012</v>
      </c>
      <c r="P8" s="1">
        <v>2517</v>
      </c>
      <c r="Q8" s="1">
        <v>65</v>
      </c>
    </row>
    <row r="9" spans="2:17" x14ac:dyDescent="0.3">
      <c r="B9" t="s">
        <v>128</v>
      </c>
      <c r="C9">
        <v>110</v>
      </c>
      <c r="D9" s="1">
        <v>4000</v>
      </c>
      <c r="E9" s="1">
        <v>80</v>
      </c>
      <c r="F9" s="1">
        <f>ROUND(MIN((FCLT[[#This Row],[D1]]*0.7),(FCLT[[#This Row],[D1]]-10)),0)</f>
        <v>56</v>
      </c>
      <c r="I9" t="s">
        <v>148</v>
      </c>
      <c r="J9" s="1">
        <v>500</v>
      </c>
      <c r="K9" s="1">
        <v>3000</v>
      </c>
      <c r="L9" s="1">
        <v>2517</v>
      </c>
      <c r="M9" s="1">
        <v>2517</v>
      </c>
      <c r="P9" s="1">
        <v>3020</v>
      </c>
      <c r="Q9" s="1">
        <v>75</v>
      </c>
    </row>
    <row r="10" spans="2:17" x14ac:dyDescent="0.3">
      <c r="B10" t="s">
        <v>129</v>
      </c>
      <c r="C10">
        <v>157</v>
      </c>
      <c r="D10" s="1">
        <v>3500</v>
      </c>
      <c r="E10" s="1">
        <v>90</v>
      </c>
      <c r="F10" s="1">
        <f>ROUND(MIN((FCLT[[#This Row],[D1]]*0.7),(FCLT[[#This Row],[D1]]-10)),0)</f>
        <v>63</v>
      </c>
      <c r="I10" t="s">
        <v>149</v>
      </c>
      <c r="J10" s="1">
        <v>675</v>
      </c>
      <c r="K10" s="1">
        <v>2600</v>
      </c>
      <c r="L10" s="1">
        <v>3020</v>
      </c>
      <c r="M10" s="1">
        <v>2517</v>
      </c>
      <c r="P10" s="1">
        <v>3525</v>
      </c>
      <c r="Q10" s="1">
        <v>90</v>
      </c>
    </row>
    <row r="11" spans="2:17" x14ac:dyDescent="0.3">
      <c r="B11" t="s">
        <v>130</v>
      </c>
      <c r="C11">
        <v>245</v>
      </c>
      <c r="D11" s="1">
        <v>3200</v>
      </c>
      <c r="E11" s="1">
        <v>100</v>
      </c>
      <c r="F11" s="1">
        <f>ROUND(MIN((FCLT[[#This Row],[D1]]*0.7),(FCLT[[#This Row],[D1]]-10)),0)</f>
        <v>70</v>
      </c>
      <c r="I11" t="s">
        <v>150</v>
      </c>
      <c r="J11" s="1">
        <v>875</v>
      </c>
      <c r="K11" s="1">
        <v>2300</v>
      </c>
      <c r="L11" s="1">
        <v>3020</v>
      </c>
      <c r="M11" s="1">
        <v>3020</v>
      </c>
      <c r="P11" s="1">
        <v>4030</v>
      </c>
      <c r="Q11" s="1">
        <v>100</v>
      </c>
    </row>
    <row r="12" spans="2:17" x14ac:dyDescent="0.3">
      <c r="B12" t="s">
        <v>131</v>
      </c>
      <c r="C12">
        <v>392</v>
      </c>
      <c r="D12" s="1">
        <v>2850</v>
      </c>
      <c r="E12" s="1">
        <v>112</v>
      </c>
      <c r="F12" s="1">
        <f>ROUND(MIN((FCLT[[#This Row],[D1]]*0.7),(FCLT[[#This Row],[D1]]-10)),0)</f>
        <v>78</v>
      </c>
      <c r="I12" t="s">
        <v>151</v>
      </c>
      <c r="J12" s="1">
        <v>1330</v>
      </c>
      <c r="K12" s="1">
        <v>2050</v>
      </c>
      <c r="L12" s="1">
        <v>3525</v>
      </c>
      <c r="M12" s="1">
        <v>3020</v>
      </c>
      <c r="P12" s="1">
        <v>4535</v>
      </c>
      <c r="Q12" s="1">
        <v>110</v>
      </c>
    </row>
    <row r="13" spans="2:17" x14ac:dyDescent="0.3">
      <c r="B13" t="s">
        <v>132</v>
      </c>
      <c r="C13">
        <v>618</v>
      </c>
      <c r="D13" s="1">
        <v>2550</v>
      </c>
      <c r="E13" s="1">
        <v>125</v>
      </c>
      <c r="F13" s="1">
        <f>ROUND(MIN((FCLT[[#This Row],[D1]]*0.7),(FCLT[[#This Row],[D1]]-10)),0)</f>
        <v>88</v>
      </c>
      <c r="I13" t="s">
        <v>152</v>
      </c>
      <c r="J13" s="1">
        <v>2325</v>
      </c>
      <c r="K13" s="1">
        <v>1800</v>
      </c>
      <c r="L13" s="1">
        <v>3525</v>
      </c>
      <c r="M13" s="1">
        <v>3525</v>
      </c>
      <c r="P13" s="1">
        <v>5040</v>
      </c>
      <c r="Q13" s="1">
        <v>125</v>
      </c>
    </row>
    <row r="14" spans="2:17" x14ac:dyDescent="0.3">
      <c r="B14" t="s">
        <v>133</v>
      </c>
      <c r="C14">
        <v>980</v>
      </c>
      <c r="D14" s="1">
        <v>2300</v>
      </c>
      <c r="E14" s="1">
        <v>140</v>
      </c>
      <c r="F14" s="1">
        <f>ROUND(MIN((FCLT[[#This Row],[D1]]*0.7),(FCLT[[#This Row],[D1]]-10)),0)</f>
        <v>98</v>
      </c>
      <c r="I14" t="s">
        <v>153</v>
      </c>
      <c r="J14" s="1">
        <v>3730</v>
      </c>
      <c r="K14" s="1">
        <v>1600</v>
      </c>
      <c r="L14" s="1">
        <v>4030</v>
      </c>
      <c r="M14" s="1">
        <v>4030</v>
      </c>
    </row>
    <row r="15" spans="2:17" x14ac:dyDescent="0.3">
      <c r="B15" t="s">
        <v>134</v>
      </c>
      <c r="C15">
        <v>1568</v>
      </c>
      <c r="D15" s="1">
        <v>2050</v>
      </c>
      <c r="E15" s="1">
        <v>160</v>
      </c>
      <c r="F15" s="1">
        <f>ROUND(MIN((FCLT[[#This Row],[D1]]*0.7),(FCLT[[#This Row],[D1]]-10)),0)</f>
        <v>112</v>
      </c>
      <c r="I15" t="s">
        <v>154</v>
      </c>
      <c r="J15" s="1">
        <v>6270</v>
      </c>
      <c r="K15" s="1">
        <v>1500</v>
      </c>
      <c r="L15" s="1">
        <v>4535</v>
      </c>
      <c r="M15" s="1">
        <v>4535</v>
      </c>
    </row>
    <row r="16" spans="2:17" x14ac:dyDescent="0.3">
      <c r="B16" t="s">
        <v>135</v>
      </c>
      <c r="C16">
        <v>2450</v>
      </c>
      <c r="D16" s="1">
        <v>1800</v>
      </c>
      <c r="E16" s="1">
        <v>180</v>
      </c>
      <c r="F16" s="1">
        <f>ROUND(MIN((FCLT[[#This Row],[D1]]*0.7),(FCLT[[#This Row],[D1]]-10)),0)</f>
        <v>126</v>
      </c>
      <c r="I16" t="s">
        <v>155</v>
      </c>
      <c r="J16" s="1">
        <v>9325</v>
      </c>
      <c r="K16" s="1">
        <v>1300</v>
      </c>
      <c r="L16" s="1">
        <v>4535</v>
      </c>
      <c r="M16" s="1">
        <v>4535</v>
      </c>
    </row>
    <row r="17" spans="2:13" x14ac:dyDescent="0.3">
      <c r="B17" t="s">
        <v>136</v>
      </c>
      <c r="C17">
        <v>3920</v>
      </c>
      <c r="D17" s="1">
        <v>1600</v>
      </c>
      <c r="E17" s="1">
        <v>200</v>
      </c>
      <c r="F17" s="1">
        <f>ROUND(MIN((FCLT[[#This Row],[D1]]*0.7),(FCLT[[#This Row],[D1]]-10)),0)</f>
        <v>140</v>
      </c>
      <c r="I17" t="s">
        <v>156</v>
      </c>
      <c r="J17" s="1">
        <v>11600</v>
      </c>
      <c r="K17" s="1">
        <v>1100</v>
      </c>
      <c r="L17" s="1">
        <v>5040</v>
      </c>
      <c r="M17" s="1">
        <v>5040</v>
      </c>
    </row>
    <row r="18" spans="2:13" x14ac:dyDescent="0.3">
      <c r="B18" t="s">
        <v>137</v>
      </c>
      <c r="C18">
        <v>6174</v>
      </c>
      <c r="D18" s="1">
        <v>1400</v>
      </c>
      <c r="E18" s="1">
        <v>224</v>
      </c>
      <c r="F18" s="1">
        <f>ROUND(MIN((FCLT[[#This Row],[D1]]*0.7),(FCLT[[#This Row],[D1]]-10)),0)</f>
        <v>157</v>
      </c>
      <c r="I18" t="s">
        <v>157</v>
      </c>
      <c r="J18" s="1">
        <v>14675</v>
      </c>
      <c r="K18" s="1">
        <v>1000</v>
      </c>
      <c r="L18" s="1" t="s">
        <v>162</v>
      </c>
      <c r="M18" s="1" t="s">
        <v>162</v>
      </c>
    </row>
    <row r="19" spans="2:13" x14ac:dyDescent="0.3">
      <c r="B19" t="s">
        <v>138</v>
      </c>
      <c r="C19">
        <v>9800</v>
      </c>
      <c r="D19" s="1">
        <v>1150</v>
      </c>
      <c r="E19" s="1">
        <v>250</v>
      </c>
      <c r="F19" s="1">
        <f>ROUND(MIN((FCLT[[#This Row],[D1]]*0.7),(FCLT[[#This Row],[D1]]-10)),0)</f>
        <v>175</v>
      </c>
    </row>
    <row r="20" spans="2:13" x14ac:dyDescent="0.3">
      <c r="B20" t="s">
        <v>139</v>
      </c>
      <c r="C20">
        <v>15680</v>
      </c>
      <c r="D20" s="1">
        <v>1000</v>
      </c>
      <c r="E20" s="1">
        <v>280</v>
      </c>
      <c r="F20" s="1">
        <f>ROUND(MIN((FCLT[[#This Row],[D1]]*0.7),(FCLT[[#This Row],[D1]]-10)),0)</f>
        <v>196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Pricelist</vt:lpstr>
      <vt:lpstr>Motor Frame</vt:lpstr>
      <vt:lpstr>Pump Shaft</vt:lpstr>
      <vt:lpstr>Coupling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2026-08-04T08:13:53Z</dcterms:created>
  <dcterms:modified xsi:type="dcterms:W3CDTF">2026-08-04T16:30:26Z</dcterms:modified>
</cp:coreProperties>
</file>